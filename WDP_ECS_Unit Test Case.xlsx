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FunctionList" sheetId="2" r:id="rId2"/>
    <sheet name="Test Report" sheetId="3" r:id="rId3"/>
    <sheet name="Login" sheetId="4" r:id="rId4"/>
    <sheet name="Create Service" sheetId="5" r:id="rId5"/>
    <sheet name="Create News" sheetId="6" r:id="rId6"/>
    <sheet name="Room" sheetId="7" r:id="rId7"/>
    <sheet name="Notifications" sheetId="8" r:id="rId8"/>
    <sheet name="Notification" sheetId="9" r:id="rId9"/>
  </sheets>
  <definedNames>
    <definedName name="ACTION">#REF!</definedName>
    <definedName name="Z_2C0D9096_8D85_462A_A9B5_0B488ADB4269_.wvu.Cols" localSheetId="5">'Create News'!$E:$E</definedName>
    <definedName name="Z_2C0D9096_8D85_462A_A9B5_0B488ADB4269_.wvu.Cols" localSheetId="4">'Create Service'!$E:$E</definedName>
    <definedName name="Z_2C0D9096_8D85_462A_A9B5_0B488ADB4269_.wvu.Cols" localSheetId="3">Login!$E:$E</definedName>
    <definedName name="Z_2C0D9096_8D85_462A_A9B5_0B488ADB4269_.wvu.Cols" localSheetId="7">Notifications!$E:$E</definedName>
    <definedName name="Z_2C0D9096_8D85_462A_A9B5_0B488ADB4269_.wvu.Cols" localSheetId="6">Room!$E:$E</definedName>
    <definedName name="Z_2C0D9096_8D85_462A_A9B5_0B488ADB4269_.wvu.PrintArea" localSheetId="2">'Test Report'!$A:$I</definedName>
    <definedName name="Z_6F1DCD5D_5DAC_4817_BF40_2B66F6F593E6_.wvu.Cols" localSheetId="5">'Create News'!$E:$E</definedName>
    <definedName name="Z_6F1DCD5D_5DAC_4817_BF40_2B66F6F593E6_.wvu.Cols" localSheetId="4">'Create Service'!$E:$E</definedName>
    <definedName name="Z_6F1DCD5D_5DAC_4817_BF40_2B66F6F593E6_.wvu.Cols" localSheetId="3">Login!$E:$E</definedName>
    <definedName name="Z_6F1DCD5D_5DAC_4817_BF40_2B66F6F593E6_.wvu.Cols" localSheetId="7">Notifications!$E:$E</definedName>
    <definedName name="Z_6F1DCD5D_5DAC_4817_BF40_2B66F6F593E6_.wvu.Cols" localSheetId="6">Room!$E:$E</definedName>
    <definedName name="Z_6F1DCD5D_5DAC_4817_BF40_2B66F6F593E6_.wvu.PrintArea" localSheetId="2">'Test Report'!$A:$I</definedName>
    <definedName name="Z_BE54E0AD_3725_4423_92D7_4F1C045BE1BC_.wvu.Cols" localSheetId="5">'Create News'!$E:$E</definedName>
    <definedName name="Z_BE54E0AD_3725_4423_92D7_4F1C045BE1BC_.wvu.Cols" localSheetId="4">'Create Service'!$E:$E</definedName>
    <definedName name="Z_BE54E0AD_3725_4423_92D7_4F1C045BE1BC_.wvu.Cols" localSheetId="3">Login!$E:$E</definedName>
    <definedName name="Z_BE54E0AD_3725_4423_92D7_4F1C045BE1BC_.wvu.Cols" localSheetId="7">Notifications!$E:$E</definedName>
    <definedName name="Z_BE54E0AD_3725_4423_92D7_4F1C045BE1BC_.wvu.Cols" localSheetId="6">Room!$E:$E</definedName>
    <definedName name="Z_BE54E0AD_3725_4423_92D7_4F1C045BE1BC_.wvu.PrintArea" localSheetId="2">'Test Report'!$A:$I</definedName>
  </definedNames>
</workbook>
</file>

<file path=xl/comments1.xml><?xml version="1.0" encoding="utf-8"?>
<comments xmlns="http://schemas.openxmlformats.org/spreadsheetml/2006/main">
  <authors>
    <author>sheetjsghost</author>
  </authors>
  <commentList>
    <comment ref="D11" authorId="0">
      <text>
        <t xml:space="preserve">======
ID#AAAByYrdNZA
    (2026-01-09 07:21:19)
*A: Add
  M: Modify
  D: Delete</t>
      </text>
    </comment>
  </commentList>
</comments>
</file>

<file path=xl/comments4.xml><?xml version="1.0" encoding="utf-8"?>
<comments xmlns="http://schemas.openxmlformats.org/spreadsheetml/2006/main">
  <authors>
    <author>sheetjsghost</author>
  </authors>
  <commentList>
    <comment ref="A5" authorId="0">
      <text>
        <t xml:space="preserve">======
ID#AAAByYrdNY0
    (2026-01-09 07:21:19)
Not mandatory</t>
      </text>
    </comment>
    <comment ref="C10" authorId="0">
      <text>
        <t xml:space="preserve">======
ID#AAAByYrdNY4
    (2026-01-09 07:21:19)
Not mandatory</t>
      </text>
    </comment>
  </commentList>
</comments>
</file>

<file path=xl/comments5.xml><?xml version="1.0" encoding="utf-8"?>
<comments xmlns="http://schemas.openxmlformats.org/spreadsheetml/2006/main">
  <authors>
    <author>sheetjsghost</author>
  </authors>
  <commentList>
    <comment ref="A5" authorId="0">
      <text>
        <t xml:space="preserve">======
ID#AAAByYrdNZE
    (2026-01-09 07:21:19)
Not mandatory</t>
      </text>
    </comment>
    <comment ref="C10" authorId="0">
      <text>
        <t xml:space="preserve">======
ID#AAAByYrdNZI
    (2026-01-09 07:21:19)
Not mandatory</t>
      </text>
    </comment>
  </commentList>
</comments>
</file>

<file path=xl/comments6.xml><?xml version="1.0" encoding="utf-8"?>
<comments xmlns="http://schemas.openxmlformats.org/spreadsheetml/2006/main">
  <authors>
    <author>sheetjsghost</author>
  </authors>
  <commentList>
    <comment ref="A5" authorId="0">
      <text>
        <t xml:space="preserve">======
ID#AAAByYrdNZQ
    (2026-01-09 07:21:19)
Not mandatory</t>
      </text>
    </comment>
    <comment ref="C10" authorId="0">
      <text>
        <t xml:space="preserve">======
ID#AAAByYrdNZM
    (2026-01-09 07:21:19)
Not mandatory</t>
      </text>
    </comment>
  </commentList>
</comments>
</file>

<file path=xl/comments8.xml><?xml version="1.0" encoding="utf-8"?>
<comments xmlns="http://schemas.openxmlformats.org/spreadsheetml/2006/main">
  <authors>
    <author>sheetjsghost</author>
  </authors>
  <commentList>
    <comment ref="A5" authorId="0">
      <text>
        <t xml:space="preserve">======
ID#AAAByYrdNZQ
    (2026-01-09 07:21:19)
Not mandatory</t>
      </text>
    </comment>
    <comment ref="C10" authorId="0">
      <text>
        <t xml:space="preserve">======
ID#AAAByYrdNZM
    (2026-01-09 07:21:19)
Not mandatory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\-mmm\-yy"/>
    <numFmt numFmtId="165" formatCode="d/m/yyyy"/>
    <numFmt numFmtId="166" formatCode="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4"/>
  <sheetViews>
    <sheetView workbookViewId="0" rightToLeft="0"/>
  </sheetViews>
  <sheetData>
    <row r="2">
      <c r="B2" t="str">
        <v>UNIT TEST CASE</v>
      </c>
    </row>
    <row r="4">
      <c r="A4" t="str">
        <v>Project Name</v>
      </c>
      <c r="B4" t="str">
        <v>DORMITORY BOOKING SYSTEM</v>
      </c>
      <c r="E4" t="str">
        <v>Creator</v>
      </c>
      <c r="F4" t="str">
        <v>NghiaNV</v>
      </c>
    </row>
    <row r="5">
      <c r="A5" t="str">
        <v>Project Code</v>
      </c>
      <c r="B5" t="str">
        <v>DBS</v>
      </c>
      <c r="E5" t="str">
        <v>Reviewer/Approver</v>
      </c>
      <c r="F5" t="str">
        <v>Group 6</v>
      </c>
    </row>
    <row r="6">
      <c r="A6" t="str">
        <v>Document Code</v>
      </c>
      <c r="B6" t="str">
        <f>B5&amp;"_"&amp;"UnitTest"&amp;"_"&amp;"v1.0"</f>
        <v>DBS_UnitTest_v1.0</v>
      </c>
      <c r="E6" t="str">
        <v>Issue Date</v>
      </c>
      <c r="F6" t="str">
        <v>&lt;11/07/2026&gt;</v>
      </c>
    </row>
    <row r="7">
      <c r="E7" t="str">
        <v>Version</v>
      </c>
      <c r="F7">
        <v>1</v>
      </c>
    </row>
    <row r="10">
      <c r="A10" t="str">
        <v>Record of change</v>
      </c>
    </row>
    <row r="11">
      <c r="A11" t="str">
        <v>Effective Date</v>
      </c>
      <c r="B11" t="str">
        <v>Version</v>
      </c>
      <c r="C11" t="str">
        <v>Change Item</v>
      </c>
      <c r="D11" t="str">
        <v>*A,D,M</v>
      </c>
      <c r="E11" t="str">
        <v>Change description</v>
      </c>
      <c r="F11" t="str">
        <v>Reference</v>
      </c>
    </row>
    <row r="12" xml:space="preserve">
      <c r="A12">
        <v>46214</v>
      </c>
      <c r="B12" t="str">
        <v>1.0</v>
      </c>
      <c r="C12" t="str" xml:space="preserve">
        <v xml:space="preserve">Cover, FunctionList, Login, Change _x000d_
Password, Create Service, Update Service, Test Report</v>
      </c>
      <c r="D12" t="str">
        <v>A</v>
      </c>
      <c r="E12" t="str" xml:space="preserve">
        <v xml:space="preserve">Add backend unit test cases and execution report _x000d_
for auth, user and service modules (11 passed)</v>
      </c>
    </row>
  </sheetData>
  <mergeCells count="5">
    <mergeCell ref="B2:F2"/>
    <mergeCell ref="B4:D4"/>
    <mergeCell ref="B5:D5"/>
    <mergeCell ref="A6:A7"/>
    <mergeCell ref="B6:D7"/>
  </mergeCells>
  <pageMargins left="0.7" right="0.7" top="0.75" bottom="0.75" header="0" footer="0"/>
  <ignoredErrors>
    <ignoredError numberStoredAsText="1" sqref="A1:Z994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91"/>
  <sheetViews>
    <sheetView workbookViewId="0" rightToLeft="0"/>
  </sheetViews>
  <sheetData>
    <row r="2">
      <c r="E2" t="str">
        <v>UNIT TEST CASE LIST</v>
      </c>
    </row>
    <row r="4">
      <c r="A4" t="str">
        <v>Project Name</v>
      </c>
      <c r="E4" t="str">
        <f>Cover!B4</f>
        <v>DORMITORY BOOKING SYSTEM</v>
      </c>
    </row>
    <row r="5">
      <c r="A5" t="str">
        <v>Project Code</v>
      </c>
      <c r="E5" t="str">
        <f>Cover!B5</f>
        <v>DBS</v>
      </c>
    </row>
    <row r="6">
      <c r="A6" t="str">
        <v xml:space="preserve">Normal number of Test cases/KLOC </v>
      </c>
      <c r="E6">
        <v>29</v>
      </c>
    </row>
    <row r="7" xml:space="preserve">
      <c r="A7" t="str">
        <v>Test Environment Setup Description</v>
      </c>
      <c r="E7" t="str" xml:space="preserve">
        <v xml:space="preserve">1. Server (Node.js/Express API)_x000d_
2. Database (MongoDB)_x000d_
3. Test framework: Vitest_x000d_
4. OS: Windows 11</v>
      </c>
    </row>
    <row r="10" xml:space="preserve">
      <c r="A10" t="str">
        <v>No</v>
      </c>
      <c r="B10" t="str" xml:space="preserve">
        <v xml:space="preserve">Requirement_x000d_
Name</v>
      </c>
      <c r="C10" t="str">
        <v>Class Name</v>
      </c>
      <c r="D10" t="str">
        <v>Function Name</v>
      </c>
      <c r="E10" t="str">
        <v xml:space="preserve"> Function Code(Optional)</v>
      </c>
      <c r="F10" t="str">
        <v>Sheet Name</v>
      </c>
      <c r="G10" t="str">
        <v>Description</v>
      </c>
      <c r="H10" t="str">
        <v>Pre-Condition</v>
      </c>
    </row>
    <row r="11">
      <c r="A11">
        <v>1</v>
      </c>
      <c r="C11" t="str">
        <v xml:space="preserve">Auth        </v>
      </c>
      <c r="D11" t="str">
        <v>Login</v>
      </c>
      <c r="E11" t="str">
        <v xml:space="preserve">AUTH_LOGIN	</v>
      </c>
      <c r="F11" t="str">
        <v>Login</v>
      </c>
      <c r="G11" t="str">
        <v>User login email/password</v>
      </c>
      <c r="H11" t="str">
        <v>Account exist, verify, status ACTIVE</v>
      </c>
    </row>
    <row r="12">
      <c r="A12">
        <v>2</v>
      </c>
      <c r="C12" t="str">
        <v>User Profile</v>
      </c>
      <c r="D12" t="str">
        <v>Change Password</v>
      </c>
      <c r="E12" t="str">
        <v xml:space="preserve">USER_CHANGE_PASSWORD	</v>
      </c>
      <c r="F12" t="str">
        <v>Change Password</v>
      </c>
      <c r="G12" t="str">
        <v>User change password</v>
      </c>
      <c r="H12" t="str">
        <v>User loggined</v>
      </c>
    </row>
    <row r="13">
      <c r="A13">
        <v>3</v>
      </c>
      <c r="C13" t="str">
        <v>Service</v>
      </c>
      <c r="D13" t="str">
        <v>Create Service</v>
      </c>
      <c r="E13" t="str">
        <v xml:space="preserve">SRV_CREATE	</v>
      </c>
      <c r="F13" t="str">
        <v>Create Service</v>
      </c>
      <c r="G13" t="str">
        <v>Sale staff create service</v>
      </c>
      <c r="H13" t="str">
        <v>Payload valid, role SALE_STAFF</v>
      </c>
    </row>
    <row r="14">
      <c r="A14">
        <v>4</v>
      </c>
      <c r="C14" t="str">
        <v>Service</v>
      </c>
      <c r="D14" t="str">
        <v>Update Service</v>
      </c>
      <c r="E14" t="str">
        <v>SRV_UPDATE</v>
      </c>
      <c r="F14" t="str">
        <v>Update Service</v>
      </c>
      <c r="G14" t="str">
        <v>Sale staff update service</v>
      </c>
      <c r="H14" t="str">
        <v>Service exist, role SALE_STAFF</v>
      </c>
    </row>
  </sheetData>
  <mergeCells count="7">
    <mergeCell ref="A7:D7"/>
    <mergeCell ref="E7:H7"/>
    <mergeCell ref="A4:D4"/>
    <mergeCell ref="E4:H4"/>
    <mergeCell ref="A5:D5"/>
    <mergeCell ref="E5:H5"/>
    <mergeCell ref="A6:D6"/>
  </mergeCells>
  <pageMargins left="0.7" right="0.7" top="0.75" bottom="0.75" header="0" footer="0"/>
  <ignoredErrors>
    <ignoredError numberStoredAsText="1" sqref="A1:Z9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999"/>
  <sheetViews>
    <sheetView workbookViewId="0" rightToLeft="0"/>
  </sheetViews>
  <sheetData>
    <row r="2">
      <c r="A2" t="str">
        <v>UNIT TEST REPORT</v>
      </c>
    </row>
    <row r="4">
      <c r="A4" t="str">
        <v>Project Name</v>
      </c>
      <c r="B4" t="str">
        <f>Cover!B4</f>
        <v>DORMITORY BOOKING SYSTEM</v>
      </c>
      <c r="D4" t="str">
        <v>Creator</v>
      </c>
      <c r="F4" t="str">
        <v>TruongVV</v>
      </c>
    </row>
    <row r="5">
      <c r="A5" t="str">
        <v>Project Code</v>
      </c>
      <c r="B5" t="str">
        <f>Cover!B5</f>
        <v>DBS</v>
      </c>
      <c r="D5" t="str">
        <v>Reviewer/Approver</v>
      </c>
      <c r="F5" t="str">
        <v>G2</v>
      </c>
    </row>
    <row r="6">
      <c r="A6" t="str">
        <v>Document Code</v>
      </c>
      <c r="B6" t="str">
        <f>B5&amp;"_"&amp;"Test Report"&amp;"_"&amp;"v1.0"</f>
        <v>DBS_Test Report_v1.0</v>
      </c>
      <c r="D6" t="str">
        <v>Issue Date</v>
      </c>
      <c r="F6">
        <v>46106</v>
      </c>
    </row>
    <row r="7">
      <c r="A7" t="str">
        <v>Notes</v>
      </c>
    </row>
    <row r="11">
      <c r="A11" t="str">
        <v>No</v>
      </c>
      <c r="B11" t="str">
        <v>Function code</v>
      </c>
      <c r="C11" t="str">
        <v>Passed</v>
      </c>
      <c r="D11" t="str">
        <v>Failed</v>
      </c>
      <c r="E11" t="str">
        <v>Untested</v>
      </c>
      <c r="F11" t="str">
        <v>N</v>
      </c>
      <c r="G11" t="str">
        <v>A</v>
      </c>
      <c r="H11" t="str">
        <v>B</v>
      </c>
      <c r="I11" t="str">
        <v>Total Test Cases</v>
      </c>
    </row>
    <row r="12">
      <c r="A12">
        <v>1</v>
      </c>
      <c r="B12" t="str">
        <v>Login</v>
      </c>
      <c r="C12">
        <f>Login!A7</f>
        <v>6</v>
      </c>
      <c r="D12">
        <f>Login!C7</f>
        <v>0</v>
      </c>
      <c r="E12">
        <f>Login!F7</f>
        <v>1</v>
      </c>
      <c r="F12">
        <f>Login!L7</f>
        <v>2</v>
      </c>
      <c r="G12">
        <f>Login!M7</f>
        <v>4</v>
      </c>
      <c r="H12">
        <f>Login!N7</f>
        <v>0</v>
      </c>
      <c r="I12">
        <f>Login!O7</f>
        <v>7</v>
      </c>
    </row>
    <row r="13">
      <c r="A13">
        <v>3</v>
      </c>
      <c r="B13" t="str">
        <v xml:space="preserve">Create Service	</v>
      </c>
      <c r="C13">
        <f>'Create Service'!A7</f>
        <v>8</v>
      </c>
      <c r="D13">
        <f>'Create Service'!C7</f>
        <v>0</v>
      </c>
      <c r="E13">
        <f>'Create Service'!F7</f>
        <v>0</v>
      </c>
      <c r="F13">
        <f>'Create Service'!L7</f>
        <v>0</v>
      </c>
      <c r="G13">
        <f>'Create Service'!M7</f>
        <v>7</v>
      </c>
      <c r="H13">
        <f>'Create Service'!N7</f>
        <v>1</v>
      </c>
      <c r="I13">
        <f>'Create Service'!O7</f>
        <v>8</v>
      </c>
    </row>
    <row r="14">
      <c r="A14">
        <v>4</v>
      </c>
      <c r="B14" t="str">
        <v xml:space="preserve">Update Service        </v>
      </c>
      <c r="C14">
        <v>8</v>
      </c>
      <c r="D14">
        <v>0</v>
      </c>
      <c r="E14">
        <v>0</v>
      </c>
      <c r="F14">
        <v>1</v>
      </c>
      <c r="G14">
        <v>4</v>
      </c>
      <c r="H14">
        <v>3</v>
      </c>
      <c r="I14">
        <v>8</v>
      </c>
    </row>
    <row r="16">
      <c r="B16" t="str">
        <v>Sub total</v>
      </c>
      <c r="C16">
        <f>SUM(C10:C15)</f>
        <v>22</v>
      </c>
      <c r="D16">
        <f>SUM(D10:D15)</f>
        <v>0</v>
      </c>
      <c r="E16">
        <f>SUM(E10:E15)</f>
        <v>1</v>
      </c>
      <c r="F16">
        <f>SUM(F10:F15)</f>
        <v>3</v>
      </c>
      <c r="G16">
        <f>SUM(G10:G15)</f>
        <v>15</v>
      </c>
      <c r="H16">
        <f>SUM(H10:H15)</f>
        <v>4</v>
      </c>
      <c r="I16">
        <f>SUM(I10:I15)</f>
        <v>23</v>
      </c>
    </row>
    <row r="18">
      <c r="B18" t="str">
        <v>Test coverage</v>
      </c>
      <c r="D18">
        <f>(C16+D16)*100/(I16)</f>
        <v>95.65217391304348</v>
      </c>
      <c r="E18" t="str">
        <v>%</v>
      </c>
    </row>
    <row r="19">
      <c r="B19" t="str">
        <v>Test successful coverage</v>
      </c>
      <c r="D19">
        <f>C16*100/(I16)</f>
        <v>95.65217391304348</v>
      </c>
      <c r="E19" t="str">
        <v>%</v>
      </c>
    </row>
    <row r="20">
      <c r="B20" t="str">
        <v>Normal case</v>
      </c>
      <c r="D20">
        <f>F16*100/I16</f>
        <v>13.043478260869565</v>
      </c>
      <c r="E20" t="str">
        <v>%</v>
      </c>
    </row>
    <row r="21">
      <c r="B21" t="str">
        <v>Abnormal case</v>
      </c>
      <c r="D21">
        <f>G16*100/I16</f>
        <v>65.21739130434783</v>
      </c>
      <c r="E21" t="str">
        <v>%</v>
      </c>
    </row>
    <row r="22">
      <c r="B22" t="str">
        <v>Boundary case</v>
      </c>
      <c r="D22">
        <f>H16*100/I16</f>
        <v>17.391304347826086</v>
      </c>
      <c r="E22" t="str">
        <v>%</v>
      </c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ageMargins left="0.7" right="0.7" top="0.75" bottom="0.75" header="0" footer="0"/>
  <ignoredErrors>
    <ignoredError numberStoredAsText="1" sqref="A1:Z9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014"/>
  <sheetViews>
    <sheetView workbookViewId="0" rightToLeft="0"/>
  </sheetViews>
  <sheetData>
    <row r="2">
      <c r="A2" t="str">
        <v>Function Code</v>
      </c>
      <c r="C2" t="str">
        <f>FunctionList!E11</f>
        <v xml:space="preserve">AUTH_LOGIN	</v>
      </c>
      <c r="F2" t="str">
        <v>Function Name</v>
      </c>
      <c r="L2" t="str">
        <f>FunctionList!D11</f>
        <v>Login</v>
      </c>
    </row>
    <row r="3">
      <c r="A3" t="str">
        <v>Created By</v>
      </c>
      <c r="C3" t="str">
        <v>NghiaNV</v>
      </c>
      <c r="F3" t="str">
        <v>Executed By</v>
      </c>
      <c r="L3" t="str">
        <v>NghiaNV</v>
      </c>
    </row>
    <row r="4">
      <c r="A4" t="str">
        <v>Lines  of code</v>
      </c>
      <c r="C4">
        <v>450</v>
      </c>
      <c r="F4" t="str">
        <v>Lack of test cases</v>
      </c>
      <c r="L4">
        <f>IF(FunctionList!E6&lt;&gt;"N/A",SUM(C4*FunctionList!E6/1000,-O7),"N/A")</f>
        <v>6.050000000000001</v>
      </c>
    </row>
    <row r="5">
      <c r="A5" t="str">
        <v>Test requirement</v>
      </c>
    </row>
    <row r="6">
      <c r="A6" t="str">
        <v>Passed</v>
      </c>
      <c r="C6" t="str">
        <v>Failed</v>
      </c>
      <c r="F6" t="str">
        <v>Untested</v>
      </c>
      <c r="L6" t="str">
        <v>N/A/B</v>
      </c>
      <c r="O6" t="str">
        <v>Total Test Cases</v>
      </c>
    </row>
    <row r="7">
      <c r="A7">
        <f>COUNTIF(F45:HQ45,"P")</f>
        <v>6</v>
      </c>
      <c r="C7">
        <f>COUNTIF(F45:HQ45,"F")</f>
        <v>0</v>
      </c>
      <c r="F7">
        <f>SUM(O7,-A7,-C7)</f>
        <v>1</v>
      </c>
      <c r="L7">
        <f>COUNTIF(E44:HQ44,"N")</f>
        <v>2</v>
      </c>
      <c r="M7">
        <f>COUNTIF(E44:HQ44,"A")</f>
        <v>4</v>
      </c>
      <c r="N7">
        <f>COUNTIF(E44:HQ44,"B")</f>
        <v>0</v>
      </c>
      <c r="O7">
        <f>COUNTA(E9:HT9)</f>
        <v>7</v>
      </c>
    </row>
    <row r="9"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>UTCID07</v>
      </c>
    </row>
    <row r="10">
      <c r="A10" t="str">
        <v>Condition</v>
      </c>
      <c r="B10" t="str">
        <v xml:space="preserve">Precondition </v>
      </c>
    </row>
    <row r="11">
      <c r="D11" t="str">
        <v>Can connect with server</v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>O</v>
      </c>
    </row>
    <row r="12">
      <c r="D12" t="str">
        <v>Already have account</v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L12" t="str">
        <v>O</v>
      </c>
    </row>
    <row r="13">
      <c r="D13" t="str">
        <v>Students log in via Google Auth; other roles log in via username/password</v>
      </c>
      <c r="F13" t="str">
        <v>O</v>
      </c>
      <c r="G13" t="str">
        <v>O</v>
      </c>
      <c r="H13" t="str">
        <v>O</v>
      </c>
      <c r="I13" t="str">
        <v>O</v>
      </c>
      <c r="J13" t="str">
        <v>O</v>
      </c>
      <c r="K13" t="str">
        <v>O</v>
      </c>
      <c r="L13" t="str">
        <v>O</v>
      </c>
    </row>
    <row r="14">
      <c r="B14" t="str">
        <v>Role</v>
      </c>
    </row>
    <row r="15">
      <c r="D15" t="str">
        <v>Student</v>
      </c>
      <c r="F15" t="str">
        <v>O</v>
      </c>
      <c r="I15" t="str">
        <v>O</v>
      </c>
    </row>
    <row r="16">
      <c r="D16" t="str">
        <v xml:space="preserve">Parent </v>
      </c>
    </row>
    <row r="17">
      <c r="D17" t="str">
        <v>Admin /Staff/Manager</v>
      </c>
      <c r="G17" t="str">
        <v>O</v>
      </c>
      <c r="H17" t="str">
        <v>O</v>
      </c>
      <c r="J17" t="str">
        <v>O</v>
      </c>
      <c r="K17" t="str">
        <v>O</v>
      </c>
    </row>
    <row r="18">
      <c r="B18" t="str">
        <v>Login with Google Auth</v>
      </c>
    </row>
    <row r="19">
      <c r="D19" t="str">
        <v>Google email exists in database</v>
      </c>
      <c r="F19" t="str">
        <v>O</v>
      </c>
    </row>
    <row r="20">
      <c r="D20" t="str">
        <v>Google email does not exist in database</v>
      </c>
      <c r="I20" t="str">
        <v>O</v>
      </c>
    </row>
    <row r="21">
      <c r="B21" t="str">
        <v xml:space="preserve">Username </v>
      </c>
    </row>
    <row r="22">
      <c r="D22" t="str">
        <v>successful Username(example: "admin")</v>
      </c>
      <c r="G22" t="str">
        <v>O</v>
      </c>
      <c r="K22" t="str">
        <v>O</v>
      </c>
    </row>
    <row r="23">
      <c r="D23" t="str">
        <v>fail Username(example: "ab123456")</v>
      </c>
      <c r="J23" t="str">
        <v>O</v>
      </c>
    </row>
    <row r="24">
      <c r="D24" t="str">
        <v>Username parent (example :"+he181411)"</v>
      </c>
      <c r="H24" t="str">
        <v>O</v>
      </c>
    </row>
    <row r="26">
      <c r="B26" t="str">
        <v xml:space="preserve">Password </v>
      </c>
    </row>
    <row r="27">
      <c r="D27" t="str">
        <v>successful Password ( "example : 123456")</v>
      </c>
      <c r="G27" t="str">
        <v>O</v>
      </c>
      <c r="H27" t="str">
        <v>O</v>
      </c>
      <c r="J27" t="str">
        <v>O</v>
      </c>
    </row>
    <row r="28">
      <c r="D28" t="str">
        <v>fail Password ( "example : abcde123")</v>
      </c>
      <c r="K28" t="str">
        <v>O</v>
      </c>
    </row>
    <row r="30">
      <c r="A30" t="str">
        <v>Confirm</v>
      </c>
      <c r="B30" t="str">
        <v>Return</v>
      </c>
    </row>
    <row r="31">
      <c r="D31" t="b">
        <v>1</v>
      </c>
      <c r="F31" t="str">
        <v>O</v>
      </c>
      <c r="G31" t="str">
        <v>O</v>
      </c>
      <c r="H31" t="str">
        <v>O</v>
      </c>
    </row>
    <row r="32">
      <c r="D32" t="b">
        <v>0</v>
      </c>
      <c r="I32" t="str">
        <v>O</v>
      </c>
      <c r="J32" t="str">
        <v>O</v>
      </c>
      <c r="K32" t="str">
        <v>O</v>
      </c>
    </row>
    <row r="33">
      <c r="B33" t="str">
        <v>Exception</v>
      </c>
    </row>
    <row r="35">
      <c r="B35" t="str">
        <v>Log message</v>
      </c>
    </row>
    <row r="36">
      <c r="D36" t="str">
        <v>"Tài khoản không có quyền truy cập vào mục này."</v>
      </c>
      <c r="H36" t="str">
        <v>O</v>
      </c>
    </row>
    <row r="37">
      <c r="D37" t="str">
        <v>"Tài khoản không tồn tại trên hệ thống"</v>
      </c>
      <c r="I37" t="str">
        <v>O</v>
      </c>
    </row>
    <row r="38">
      <c r="D38" t="str">
        <v>"Không tồn tại người dùng"</v>
      </c>
      <c r="J38" t="str">
        <v>O</v>
      </c>
    </row>
    <row r="39">
      <c r="B39" t="str">
        <v>"Mật khẩu không đúng"</v>
      </c>
      <c r="K39" t="str">
        <v>O</v>
      </c>
    </row>
    <row r="44">
      <c r="A44" t="str">
        <v>Result</v>
      </c>
      <c r="B44" t="str">
        <v>Type(N : Normal, A : Abnormal, B : Boundary)</v>
      </c>
      <c r="F44" t="str">
        <v>N</v>
      </c>
      <c r="G44" t="str">
        <v>N</v>
      </c>
      <c r="H44" t="str">
        <v>A</v>
      </c>
      <c r="I44" t="str">
        <v>A</v>
      </c>
      <c r="J44" t="str">
        <v>A</v>
      </c>
      <c r="K44" t="str">
        <v>A</v>
      </c>
    </row>
    <row r="45">
      <c r="B45" t="str">
        <v>Passed/Failed</v>
      </c>
      <c r="F45" t="str">
        <v>P</v>
      </c>
      <c r="G45" t="str">
        <v>P</v>
      </c>
      <c r="H45" t="str">
        <v>P</v>
      </c>
      <c r="I45" t="str">
        <v>P</v>
      </c>
      <c r="J45" t="str">
        <v>P</v>
      </c>
      <c r="K45" t="str">
        <v>P</v>
      </c>
    </row>
    <row r="46">
      <c r="B46" t="str">
        <v>Executed Date</v>
      </c>
      <c r="F46">
        <v>46214</v>
      </c>
      <c r="G46">
        <v>46214</v>
      </c>
      <c r="H46">
        <v>46214</v>
      </c>
      <c r="I46">
        <v>46214</v>
      </c>
      <c r="J46">
        <v>46214</v>
      </c>
      <c r="K46">
        <v>46214</v>
      </c>
      <c r="L46">
        <v>46214</v>
      </c>
    </row>
    <row r="47">
      <c r="B47" t="str">
        <v>Defect ID</v>
      </c>
    </row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B39:D39"/>
    <mergeCell ref="B44:D44"/>
    <mergeCell ref="B45:D45"/>
    <mergeCell ref="L6:N6"/>
    <mergeCell ref="B46:D46"/>
    <mergeCell ref="B47:D47"/>
    <mergeCell ref="A6:B6"/>
    <mergeCell ref="C6:E6"/>
    <mergeCell ref="F6:K6"/>
    <mergeCell ref="A7:B7"/>
    <mergeCell ref="C7:E7"/>
    <mergeCell ref="F7:K7"/>
  </mergeCells>
  <pageMargins left="0.7" right="0.7" top="0.75" bottom="0.75" header="0" footer="0"/>
  <ignoredErrors>
    <ignoredError numberStoredAsText="1" sqref="A1:Z1014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992"/>
  <sheetViews>
    <sheetView workbookViewId="0" rightToLeft="0"/>
  </sheetViews>
  <sheetData>
    <row r="2">
      <c r="A2" t="str">
        <v>Function Code</v>
      </c>
      <c r="C2" t="str">
        <v>SRV_CREATE</v>
      </c>
      <c r="F2" t="str">
        <v>Function Name</v>
      </c>
      <c r="L2" t="str">
        <v>Create Service</v>
      </c>
    </row>
    <row r="3">
      <c r="A3" t="str">
        <v>Created By</v>
      </c>
      <c r="C3" t="str">
        <v>TruongVV</v>
      </c>
      <c r="F3" t="str">
        <v>Executed By</v>
      </c>
      <c r="L3" t="str">
        <v>TruongVV</v>
      </c>
    </row>
    <row r="4">
      <c r="A4" t="str">
        <v>Lines  of code</v>
      </c>
      <c r="C4">
        <v>300</v>
      </c>
      <c r="F4" t="str">
        <v>Lack of test cases</v>
      </c>
      <c r="L4">
        <f>IF(FunctionList!E6&lt;&gt;"N/A",SUM(C4*FunctionList!E6/1000,-O7),"N/A")</f>
        <v>0.6999999999999993</v>
      </c>
    </row>
    <row r="5">
      <c r="A5" t="str">
        <v>Test requirement</v>
      </c>
    </row>
    <row r="6">
      <c r="A6" t="str">
        <v>Passed</v>
      </c>
      <c r="C6" t="str">
        <v>Failed</v>
      </c>
      <c r="F6" t="str">
        <v>Untested</v>
      </c>
      <c r="L6" t="str">
        <v>N/A/B</v>
      </c>
      <c r="O6" t="str">
        <v>Total Test Cases</v>
      </c>
    </row>
    <row r="7">
      <c r="A7">
        <f>COUNTIF(F42:HQ42,"P")</f>
        <v>8</v>
      </c>
      <c r="C7">
        <f>COUNTIF(F42:HQ42,"F")</f>
        <v>0</v>
      </c>
      <c r="F7">
        <f>SUM(O7,-A7,-C7)</f>
        <v>0</v>
      </c>
      <c r="L7">
        <f>COUNTIF(E41:HQ41,"N")</f>
        <v>0</v>
      </c>
      <c r="M7">
        <f>COUNTIF(E41:HQ41,"A")</f>
        <v>7</v>
      </c>
      <c r="N7">
        <f>COUNTIF(E41:HQ41,"B")</f>
        <v>1</v>
      </c>
      <c r="O7">
        <f>COUNTA(E9:HT9)</f>
        <v>8</v>
      </c>
    </row>
    <row r="9"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>UTCID07</v>
      </c>
      <c r="M9" t="str">
        <v>UTCID08</v>
      </c>
    </row>
    <row r="10">
      <c r="A10" t="str">
        <v>Condition</v>
      </c>
      <c r="B10" t="str">
        <v xml:space="preserve">Precondition </v>
      </c>
    </row>
    <row r="11">
      <c r="D11" t="str">
        <v>Can connect with server</v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>O</v>
      </c>
      <c r="M11" t="str">
        <v>O</v>
      </c>
    </row>
    <row r="12">
      <c r="D12" t="str">
        <v>User login with SALE_STAFF</v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M12" t="str">
        <v>O</v>
      </c>
    </row>
    <row r="14">
      <c r="B14" t="str">
        <v>name (bắt buộc, không rỗng sau trim)</v>
      </c>
    </row>
    <row r="15">
      <c r="D15" t="str">
        <v>name hợp lệ (ví dụ "Khám mắt")</v>
      </c>
      <c r="F15" t="str">
        <v>O</v>
      </c>
      <c r="K15" t="str">
        <v>O</v>
      </c>
      <c r="L15" t="str">
        <v>O</v>
      </c>
    </row>
    <row r="16">
      <c r="D16" t="str">
        <v xml:space="preserve">name rỗng "" hoặc chỉ khoảng trắng	</v>
      </c>
      <c r="G16" t="str">
        <v>O</v>
      </c>
    </row>
    <row r="17">
      <c r="D17" t="str">
        <v>""</v>
      </c>
      <c r="J17" t="str">
        <v>O</v>
      </c>
    </row>
    <row r="18">
      <c r="B18" t="str">
        <v>description</v>
      </c>
    </row>
    <row r="19">
      <c r="D19" t="str">
        <v xml:space="preserve">description hợp lệ	</v>
      </c>
      <c r="F19" t="str">
        <v>O</v>
      </c>
      <c r="G19" t="str">
        <v>O</v>
      </c>
      <c r="I19" t="str">
        <v>O</v>
      </c>
      <c r="J19" t="str">
        <v>O</v>
      </c>
    </row>
    <row r="20">
      <c r="D20" t="str">
        <v xml:space="preserve">description rỗng	</v>
      </c>
      <c r="H20" t="str">
        <v>O</v>
      </c>
      <c r="K20" t="str">
        <v>O</v>
      </c>
    </row>
    <row r="21">
      <c r="L21" t="str">
        <v>O</v>
      </c>
    </row>
    <row r="22">
      <c r="B22" t="str">
        <v>price (phải là number, ≥ 0)</v>
      </c>
    </row>
    <row r="23">
      <c r="D23" t="str">
        <v>price số dương (ví dụ 150000)</v>
      </c>
      <c r="F23" t="str">
        <v>O</v>
      </c>
      <c r="G23" t="str">
        <v>O</v>
      </c>
      <c r="H23" t="str">
        <v>O</v>
      </c>
      <c r="L23" t="str">
        <v>O</v>
      </c>
    </row>
    <row r="24">
      <c r="D24" t="str">
        <v xml:space="preserve">price âm (ví dụ -1)	</v>
      </c>
      <c r="I24" t="str">
        <v>O</v>
      </c>
    </row>
    <row r="25">
      <c r="D25" t="str">
        <v xml:space="preserve">price không phải number (ví dụ "abc" hoặc thiếu)	</v>
      </c>
      <c r="J25" t="str">
        <v>O</v>
      </c>
    </row>
    <row r="26">
      <c r="D26" t="str">
        <v xml:space="preserve">price = 0 (biên, hợp lệ)	</v>
      </c>
      <c r="K26" t="str">
        <v>O</v>
      </c>
    </row>
    <row r="28">
      <c r="B28" t="str">
        <v>image (tùy chọn)</v>
      </c>
    </row>
    <row r="29">
      <c r="D29" t="str">
        <v>image: image || undefined — không validate dung lượng</v>
      </c>
    </row>
    <row r="31">
      <c r="A31" t="str">
        <v>Confirm</v>
      </c>
      <c r="B31" t="str">
        <v>Return</v>
      </c>
    </row>
    <row r="32">
      <c r="D32" t="str">
        <v>T</v>
      </c>
      <c r="F32" t="str">
        <v>O</v>
      </c>
      <c r="K32" t="str">
        <v>O</v>
      </c>
    </row>
    <row r="33">
      <c r="D33" t="str">
        <v>F</v>
      </c>
      <c r="G33" t="str">
        <v>O</v>
      </c>
      <c r="H33" t="str">
        <v>O</v>
      </c>
      <c r="I33" t="str">
        <v>O</v>
      </c>
      <c r="J33" t="str">
        <v>O</v>
      </c>
      <c r="L33" t="str">
        <v>O</v>
      </c>
      <c r="M33" t="str">
        <v>O</v>
      </c>
    </row>
    <row r="34">
      <c r="B34" t="str">
        <v>Exception</v>
      </c>
    </row>
    <row r="36">
      <c r="B36" t="str">
        <v>Log message</v>
      </c>
    </row>
    <row r="37">
      <c r="D37" t="str">
        <v>"Validation failed" và errors.name: "Name is required"</v>
      </c>
      <c r="G37" t="str">
        <v>O</v>
      </c>
    </row>
    <row r="38">
      <c r="D38" t="str">
        <v>"Validation failed" và errors.description: "Description is required"</v>
      </c>
      <c r="H38" t="str">
        <v>O</v>
      </c>
    </row>
    <row r="39">
      <c r="D39" t="str">
        <v>"Validation failed" và errors.price: "Price must be a non-negative number"</v>
      </c>
      <c r="I39" t="str">
        <v>O</v>
      </c>
      <c r="J39" t="str">
        <v>O</v>
      </c>
    </row>
    <row r="40">
      <c r="L40" t="str">
        <v>O</v>
      </c>
    </row>
    <row r="41">
      <c r="A41" t="str">
        <v>Result</v>
      </c>
      <c r="B41" t="str">
        <v>Type(N : Normal, A : Abnormal, B : Boundary)</v>
      </c>
      <c r="F41" t="str">
        <v>A</v>
      </c>
      <c r="G41" t="str">
        <v>A</v>
      </c>
      <c r="H41" t="str">
        <v>A</v>
      </c>
      <c r="I41" t="str">
        <v>A</v>
      </c>
      <c r="J41" t="str">
        <v>A</v>
      </c>
      <c r="K41" t="str">
        <v>B</v>
      </c>
      <c r="L41" t="str">
        <v>A</v>
      </c>
      <c r="M41" t="str">
        <v>A</v>
      </c>
    </row>
    <row r="42">
      <c r="B42" t="str">
        <v>Passed/Failed</v>
      </c>
      <c r="F42" t="str">
        <v>P</v>
      </c>
      <c r="G42" t="str">
        <v>P</v>
      </c>
      <c r="H42" t="str">
        <v>P</v>
      </c>
      <c r="I42" t="str">
        <v>P</v>
      </c>
      <c r="J42" t="str">
        <v>P</v>
      </c>
      <c r="K42" t="str">
        <v>P</v>
      </c>
      <c r="L42" t="str">
        <v>P</v>
      </c>
      <c r="M42" t="str">
        <v>P</v>
      </c>
    </row>
    <row r="43">
      <c r="B43" t="str">
        <v>Executed Date</v>
      </c>
      <c r="F43">
        <v>46106</v>
      </c>
      <c r="G43">
        <v>46106</v>
      </c>
      <c r="H43">
        <v>46106</v>
      </c>
      <c r="I43">
        <v>46106</v>
      </c>
      <c r="J43">
        <v>46106</v>
      </c>
      <c r="K43">
        <v>46106</v>
      </c>
      <c r="L43">
        <v>46106</v>
      </c>
      <c r="M43">
        <v>46106</v>
      </c>
    </row>
    <row r="44">
      <c r="B44" t="str">
        <v>Defect ID</v>
      </c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41:D41"/>
    <mergeCell ref="B42:D42"/>
    <mergeCell ref="L6:N6"/>
    <mergeCell ref="B43:D43"/>
    <mergeCell ref="B44:D44"/>
    <mergeCell ref="A6:B6"/>
    <mergeCell ref="C6:E6"/>
    <mergeCell ref="F6:K6"/>
    <mergeCell ref="A7:B7"/>
    <mergeCell ref="C7:E7"/>
    <mergeCell ref="F7:K7"/>
  </mergeCells>
  <pageMargins left="0.7" right="0.7" top="0.75" bottom="0.75" header="0" footer="0"/>
  <ignoredErrors>
    <ignoredError numberStoredAsText="1" sqref="A1:Z99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988"/>
  <sheetViews>
    <sheetView workbookViewId="0" rightToLeft="0"/>
  </sheetViews>
  <sheetData>
    <row r="2">
      <c r="A2" t="str">
        <v>Function Code</v>
      </c>
      <c r="C2" t="str">
        <v>NEWS_CREATE</v>
      </c>
      <c r="F2" t="str">
        <v>Function Name</v>
      </c>
      <c r="L2" t="str">
        <v>Create News</v>
      </c>
    </row>
    <row r="3">
      <c r="A3" t="str">
        <v>Created By</v>
      </c>
      <c r="C3" t="str">
        <v>quypd</v>
      </c>
      <c r="F3" t="str">
        <v>Executed By</v>
      </c>
      <c r="L3" t="str">
        <v>quypd</v>
      </c>
    </row>
    <row r="4">
      <c r="A4" t="str">
        <v>Lines  of code</v>
      </c>
      <c r="C4">
        <v>69</v>
      </c>
      <c r="F4" t="str">
        <v>Lack of test cases</v>
      </c>
      <c r="L4">
        <f>IF(FunctionList!E6&lt;'[1]Create News'!$K$14&gt;"N/A",SUM(C4*FunctionList!E6/1000,-O7),"N/A")</f>
        <v>-5.9990000000000006</v>
      </c>
    </row>
    <row r="5">
      <c r="A5" t="str">
        <v>Test requirement</v>
      </c>
    </row>
    <row r="6">
      <c r="A6" t="str">
        <v>Passed</v>
      </c>
      <c r="C6" t="str">
        <v>Failed</v>
      </c>
      <c r="F6" t="str">
        <v>Untested</v>
      </c>
      <c r="L6" t="str">
        <v>N/A/B</v>
      </c>
      <c r="O6" t="str">
        <v>Total Test Cases</v>
      </c>
    </row>
    <row r="7">
      <c r="A7">
        <v>8</v>
      </c>
      <c r="C7">
        <v>0</v>
      </c>
      <c r="F7">
        <f>SUM(O7,-A7,-C7)</f>
        <v>0</v>
      </c>
      <c r="L7">
        <v>2</v>
      </c>
      <c r="M7">
        <v>4</v>
      </c>
      <c r="N7">
        <v>2</v>
      </c>
      <c r="O7">
        <f>COUNTA(E9:HT9)</f>
        <v>8</v>
      </c>
    </row>
    <row r="9"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>UTCID07</v>
      </c>
      <c r="M9" t="str">
        <v>UTCID08</v>
      </c>
    </row>
    <row r="10">
      <c r="A10" t="str">
        <v>Condition</v>
      </c>
      <c r="B10" t="str">
        <v xml:space="preserve">Precondition </v>
      </c>
    </row>
    <row r="11">
      <c r="D11" t="str">
        <v>Can connect with server</v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>O</v>
      </c>
      <c r="M11" t="str">
        <v>O</v>
      </c>
    </row>
    <row r="12">
      <c r="D12" t="str">
        <v>User login with role MANAGER</v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L12" t="str">
        <v>O</v>
      </c>
      <c r="M12" t="str">
        <v>O</v>
      </c>
    </row>
    <row r="14">
      <c r="B14" t="str">
        <v>title (bat buoc, khong rong sau trim)</v>
      </c>
    </row>
    <row r="15">
      <c r="D15" t="str">
        <v>title hop le (vi du "Bao tri he thong")</v>
      </c>
      <c r="F15" t="str">
        <v>O</v>
      </c>
      <c r="I15" t="str">
        <v>O</v>
      </c>
      <c r="J15" t="str">
        <v>O</v>
      </c>
      <c r="M15" t="str">
        <v>O</v>
      </c>
    </row>
    <row r="16">
      <c r="D16" t="str">
        <v>title = "" (rong)</v>
      </c>
      <c r="G16" t="str">
        <v>O</v>
      </c>
      <c r="L16" t="str">
        <v>O</v>
      </c>
    </row>
    <row r="17">
      <c r="D17" t="str">
        <v>title = "   " (chi khoang trang)</v>
      </c>
      <c r="H17" t="str">
        <v>O</v>
      </c>
    </row>
    <row r="18">
      <c r="D18" t="str">
        <v>title = undefined (khong truyen)</v>
      </c>
      <c r="K18" t="str">
        <v>O</v>
      </c>
    </row>
    <row r="19">
      <c r="B19" t="str">
        <v>content (bat buoc, khong rong sau trim)</v>
      </c>
    </row>
    <row r="20">
      <c r="D20" t="str">
        <v>content hop le</v>
      </c>
      <c r="F20" t="str">
        <v>O</v>
      </c>
      <c r="G20" t="str">
        <v>O</v>
      </c>
      <c r="H20" t="str">
        <v>O</v>
      </c>
      <c r="K20" t="str">
        <v>O</v>
      </c>
      <c r="M20" t="str">
        <v>O</v>
      </c>
    </row>
    <row r="21">
      <c r="D21" t="str">
        <v>content = "" (rong)</v>
      </c>
      <c r="I21" t="str">
        <v>O</v>
      </c>
    </row>
    <row r="22">
      <c r="D22" t="str">
        <v>content = "   " (chi khoang trang)</v>
      </c>
      <c r="J22" t="str">
        <v>O</v>
      </c>
    </row>
    <row r="23">
      <c r="D23" t="str">
        <v>content = undefined</v>
      </c>
      <c r="L23" t="str">
        <v>O</v>
      </c>
    </row>
    <row r="24">
      <c r="B24" t="str">
        <v>status (tuy chon, mac dinh published)</v>
      </c>
    </row>
    <row r="25">
      <c r="D25" t="str">
        <v>status mac dinh "published"</v>
      </c>
      <c r="F25" t="str">
        <v>O</v>
      </c>
      <c r="G25" t="str">
        <v>O</v>
      </c>
      <c r="H25" t="str">
        <v>O</v>
      </c>
      <c r="I25" t="str">
        <v>O</v>
      </c>
      <c r="J25" t="str">
        <v>O</v>
      </c>
      <c r="K25" t="str">
        <v>O</v>
      </c>
      <c r="L25" t="str">
        <v>O</v>
      </c>
    </row>
    <row r="26">
      <c r="D26" t="str">
        <v>status = "draft"</v>
      </c>
      <c r="M26" t="str">
        <v>O</v>
      </c>
    </row>
    <row r="27">
      <c r="B27" t="str">
        <v>isPinned (tuy chon)</v>
      </c>
    </row>
    <row r="28">
      <c r="C28" t="str">
        <v>isPinned = false (mac dinh)</v>
      </c>
      <c r="F28" t="str">
        <v>O</v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>O</v>
      </c>
    </row>
    <row r="29">
      <c r="C29" t="str">
        <v>isPinned = true</v>
      </c>
      <c r="M29" t="str">
        <v>O</v>
      </c>
    </row>
    <row r="30">
      <c r="A30" t="str">
        <v>Confirm</v>
      </c>
      <c r="B30" t="str">
        <v>Return</v>
      </c>
    </row>
    <row r="31">
      <c r="D31" t="str">
        <v>HTTP 201 - success:true - Dang ban tin thanh cong</v>
      </c>
      <c r="F31" t="str">
        <v>O</v>
      </c>
      <c r="M31" t="str">
        <v>O</v>
      </c>
    </row>
    <row r="32">
      <c r="D32" t="str">
        <v>HTTP 400 - "Vui long nhap tieu de ban tin"</v>
      </c>
      <c r="G32" t="str">
        <v>O</v>
      </c>
      <c r="H32" t="str">
        <v>O</v>
      </c>
      <c r="K32" t="str">
        <v>O</v>
      </c>
    </row>
    <row r="33">
      <c r="D33" t="str">
        <v>HTTP 400 - "Vui long nhap noi dung ban tin"</v>
      </c>
      <c r="I33" t="str">
        <v>O</v>
      </c>
      <c r="J33" t="str">
        <v>O</v>
      </c>
      <c r="L33" t="str">
        <v>O</v>
      </c>
    </row>
    <row r="34">
      <c r="D34" t="str">
        <v>KHONG emit socket, KHONG tao Notification</v>
      </c>
      <c r="G34" t="str">
        <v>O</v>
      </c>
      <c r="H34" t="str">
        <v>O</v>
      </c>
      <c r="I34" t="str">
        <v>O</v>
      </c>
      <c r="J34" t="str">
        <v>O</v>
      </c>
      <c r="K34" t="str">
        <v>O</v>
      </c>
      <c r="L34" t="str">
        <v>O</v>
      </c>
    </row>
    <row r="35">
      <c r="D35" t="str">
        <v>Emit socket new_news + tao Notification</v>
      </c>
      <c r="F35" t="str">
        <v>O</v>
      </c>
    </row>
    <row r="37">
      <c r="A37" t="str">
        <v>Result</v>
      </c>
      <c r="B37" t="str">
        <v>Type(N : Normal, A : Abnormal, B : Boundary)</v>
      </c>
      <c r="F37" t="str">
        <v>N</v>
      </c>
      <c r="G37" t="str">
        <v>A</v>
      </c>
      <c r="H37" t="str">
        <v>B</v>
      </c>
      <c r="I37" t="str">
        <v>A</v>
      </c>
      <c r="J37" t="str">
        <v>B</v>
      </c>
      <c r="K37" t="str">
        <v>A</v>
      </c>
      <c r="L37" t="str">
        <v>A</v>
      </c>
      <c r="M37" t="str">
        <v>N</v>
      </c>
    </row>
    <row r="38">
      <c r="B38" t="str">
        <v>Passed/Failed</v>
      </c>
      <c r="F38" t="str">
        <v>P</v>
      </c>
      <c r="G38" t="str">
        <v>P</v>
      </c>
      <c r="H38" t="str">
        <v>P</v>
      </c>
      <c r="I38" t="str">
        <v>P</v>
      </c>
      <c r="J38" t="str">
        <v>P</v>
      </c>
      <c r="K38" t="str">
        <v>P</v>
      </c>
      <c r="L38" t="str">
        <v>P</v>
      </c>
      <c r="M38" t="str">
        <v>P</v>
      </c>
    </row>
    <row r="39">
      <c r="B39" t="str">
        <v>Executed Date</v>
      </c>
      <c r="F39">
        <v>46214</v>
      </c>
      <c r="G39">
        <v>46214</v>
      </c>
      <c r="H39">
        <v>46214</v>
      </c>
      <c r="I39">
        <v>46214</v>
      </c>
      <c r="J39">
        <v>46214</v>
      </c>
      <c r="K39">
        <v>46214</v>
      </c>
      <c r="L39">
        <v>46214</v>
      </c>
      <c r="M39">
        <v>46214</v>
      </c>
    </row>
    <row r="40">
      <c r="B40" t="str">
        <v>Defect ID</v>
      </c>
    </row>
  </sheetData>
  <mergeCells count="28">
    <mergeCell ref="A2:B2"/>
    <mergeCell ref="C2:D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20:E20"/>
    <mergeCell ref="B37:D37"/>
    <mergeCell ref="B38:D38"/>
    <mergeCell ref="L6:N6"/>
    <mergeCell ref="B39:D39"/>
    <mergeCell ref="B40:D40"/>
    <mergeCell ref="A6:B6"/>
    <mergeCell ref="C6:E6"/>
    <mergeCell ref="F6:K6"/>
    <mergeCell ref="A7:B7"/>
    <mergeCell ref="C7:E7"/>
    <mergeCell ref="F7:K7"/>
  </mergeCells>
  <pageMargins left="0.7" right="0.7" top="0.75" bottom="0.75" header="0" footer="0"/>
  <ignoredErrors>
    <ignoredError numberStoredAsText="1" sqref="A1:Z988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41"/>
  <sheetViews>
    <sheetView workbookViewId="0" rightToLeft="0"/>
  </sheetViews>
  <cols>
    <col min="1" max="1" width="12.83203125" customWidth="1"/>
    <col min="2" max="2" width="30.83203125" customWidth="1"/>
    <col min="3" max="3" width="12.83203125" customWidth="1"/>
    <col min="4" max="4" width="44.83203125" customWidth="1"/>
    <col min="5" max="5" width="4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Function Code</v>
      </c>
      <c r="B2" t="str">
        <v/>
      </c>
      <c r="C2" t="str">
        <v>BUILDING_CREATE / BUILDING_DELETE</v>
      </c>
      <c r="D2" t="str">
        <v/>
      </c>
      <c r="E2" t="str">
        <v/>
      </c>
      <c r="F2" t="str">
        <v>Function Name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Create / Delete Building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Created By</v>
      </c>
      <c r="B3" t="str">
        <v/>
      </c>
      <c r="C3" t="str">
        <v>quypd</v>
      </c>
      <c r="D3" t="str">
        <v/>
      </c>
      <c r="E3" t="str">
        <v/>
      </c>
      <c r="F3" t="str">
        <v>Executed By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quypd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Lines  of code</v>
      </c>
      <c r="B4" t="str">
        <v/>
      </c>
      <c r="C4">
        <v>118</v>
      </c>
      <c r="D4" t="str">
        <v/>
      </c>
      <c r="E4" t="str">
        <v/>
      </c>
      <c r="F4" t="str">
        <v>Lack of test cases</v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Test requirement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Passed</v>
      </c>
      <c r="B6" t="str">
        <v/>
      </c>
      <c r="C6" t="str">
        <v>Failed</v>
      </c>
      <c r="D6" t="str">
        <v/>
      </c>
      <c r="E6" t="str">
        <v/>
      </c>
      <c r="F6" t="str">
        <v>Untested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N/A/B</v>
      </c>
      <c r="M6" t="str">
        <v/>
      </c>
      <c r="N6" t="str">
        <v/>
      </c>
      <c r="O6" t="str">
        <v>Total Test Cases</v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>
        <v>7</v>
      </c>
      <c r="B7" t="str">
        <v/>
      </c>
      <c r="C7">
        <v>0</v>
      </c>
      <c r="D7" t="str">
        <v/>
      </c>
      <c r="E7" t="str">
        <v/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2</v>
      </c>
      <c r="M7">
        <v>4</v>
      </c>
      <c r="N7">
        <v>1</v>
      </c>
      <c r="O7">
        <v>7</v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>UTCID07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Condition</v>
      </c>
      <c r="B10" t="str">
        <v xml:space="preserve">Precondition 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/>
      </c>
      <c r="C11" t="str">
        <v/>
      </c>
      <c r="D11" t="str">
        <v>Can connect with server</v>
      </c>
      <c r="E11" t="str">
        <v/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>O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/>
      </c>
      <c r="C12" t="str">
        <v/>
      </c>
      <c r="D12" t="str">
        <v>User login with role ADMIN</v>
      </c>
      <c r="E12" t="str">
        <v/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L12" t="str">
        <v>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name (createBuilding - bat buoc, khong rong sau trim)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name hop le, chua ton tai</v>
      </c>
      <c r="E15" t="str">
        <v/>
      </c>
      <c r="F15" t="str">
        <v>O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name = "" (rong)</v>
      </c>
      <c r="E16" t="str">
        <v/>
      </c>
      <c r="F16" t="str">
        <v/>
      </c>
      <c r="G16" t="str">
        <v>O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/>
      </c>
      <c r="D17" t="str">
        <v>name = "   " (chi khoang trang)</v>
      </c>
      <c r="E17" t="str">
        <v/>
      </c>
      <c r="F17" t="str">
        <v/>
      </c>
      <c r="G17" t="str">
        <v/>
      </c>
      <c r="H17" t="str">
        <v>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name da ton tai trong DB</v>
      </c>
      <c r="E18" t="str">
        <v/>
      </c>
      <c r="F18" t="str">
        <v/>
      </c>
      <c r="G18" t="str">
        <v/>
      </c>
      <c r="H18" t="str">
        <v/>
      </c>
      <c r="I18" t="str">
        <v>O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>buildingId (deleteBuilding)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/>
      </c>
      <c r="D21" t="str">
        <v>Toa nha ton tai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O</v>
      </c>
      <c r="K21" t="str">
        <v/>
      </c>
      <c r="L21" t="str">
        <v>O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Toa nha KHONG ton tai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O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Trang thai phong (deleteBuilding)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Khong co phong dang occupied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O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Con phong dang co nguoi o (occupied &gt; 0)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O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Confirm</v>
      </c>
      <c r="B28" t="str">
        <v>Return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/>
      </c>
      <c r="C29" t="str">
        <v/>
      </c>
      <c r="D29" t="str">
        <v>HTTP 201 - Tao toa nha + phong thanh cong</v>
      </c>
      <c r="E29" t="str">
        <v/>
      </c>
      <c r="F29" t="str">
        <v>O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>HTTP 400 - "Ten toa nha khong duoc de trong"</v>
      </c>
      <c r="E30" t="str">
        <v/>
      </c>
      <c r="F30" t="str">
        <v/>
      </c>
      <c r="G30" t="str">
        <v>O</v>
      </c>
      <c r="H30" t="str">
        <v>O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>HTTP 400 - "Toa nha ... da ton tai"</v>
      </c>
      <c r="E31" t="str">
        <v/>
      </c>
      <c r="F31" t="str">
        <v/>
      </c>
      <c r="G31" t="str">
        <v/>
      </c>
      <c r="H31" t="str">
        <v/>
      </c>
      <c r="I31" t="str">
        <v>O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>HTTP 200 - Xoa toa nha thanh cong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/>
      </c>
      <c r="C33" t="str">
        <v/>
      </c>
      <c r="D33" t="str">
        <v>HTTP 404 - "Khong tim thay toa nha"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O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/>
      </c>
      <c r="C34" t="str">
        <v/>
      </c>
      <c r="D34" t="str">
        <v>HTTP 400 - "... con phong dang co nguoi o"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O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/>
      </c>
      <c r="C35" t="str">
        <v/>
      </c>
      <c r="D35" t="str">
        <v>Tao 24 phong (4 tang x 6 phong)</v>
      </c>
      <c r="E35" t="str">
        <v/>
      </c>
      <c r="F35" t="str">
        <v>O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/>
      </c>
      <c r="C36" t="str">
        <v/>
      </c>
      <c r="D36" t="str">
        <v>Xoa toan bo phong cua toa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O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Result</v>
      </c>
      <c r="B38" t="str">
        <v>Type(N : Normal, A : Abnormal, B : Boundary)</v>
      </c>
      <c r="C38" t="str">
        <v/>
      </c>
      <c r="D38" t="str">
        <v/>
      </c>
      <c r="E38" t="str">
        <v/>
      </c>
      <c r="F38" t="str">
        <v>N</v>
      </c>
      <c r="G38" t="str">
        <v>A</v>
      </c>
      <c r="H38" t="str">
        <v>B</v>
      </c>
      <c r="I38" t="str">
        <v>A</v>
      </c>
      <c r="J38" t="str">
        <v>N</v>
      </c>
      <c r="K38" t="str">
        <v>A</v>
      </c>
      <c r="L38" t="str">
        <v>A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>Passed/Failed</v>
      </c>
      <c r="C39" t="str">
        <v/>
      </c>
      <c r="D39" t="str">
        <v/>
      </c>
      <c r="E39" t="str">
        <v/>
      </c>
      <c r="F39" t="str">
        <v>P</v>
      </c>
      <c r="G39" t="str">
        <v>P</v>
      </c>
      <c r="H39" t="str">
        <v>P</v>
      </c>
      <c r="I39" t="str">
        <v>P</v>
      </c>
      <c r="J39" t="str">
        <v>P</v>
      </c>
      <c r="K39" t="str">
        <v>P</v>
      </c>
      <c r="L39" t="str">
        <v>P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/>
      </c>
      <c r="B40" t="str">
        <v>Executed Date</v>
      </c>
      <c r="C40" t="str">
        <v/>
      </c>
      <c r="D40" t="str">
        <v/>
      </c>
      <c r="E40" t="str">
        <v/>
      </c>
      <c r="F40" t="str">
        <v>16/07/2026</v>
      </c>
      <c r="G40" t="str">
        <v>16/07/2026</v>
      </c>
      <c r="H40" t="str">
        <v>16/07/2026</v>
      </c>
      <c r="I40" t="str">
        <v>16/07/2026</v>
      </c>
      <c r="J40" t="str">
        <v>16/07/2026</v>
      </c>
      <c r="K40" t="str">
        <v>16/07/2026</v>
      </c>
      <c r="L40" t="str">
        <v>16/07/2026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>Defect ID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</sheetData>
  <ignoredErrors>
    <ignoredError numberStoredAsText="1" sqref="A1:T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988"/>
  <sheetViews>
    <sheetView workbookViewId="0" rightToLeft="0"/>
  </sheetViews>
  <sheetData>
    <row r="2">
      <c r="A2" t="str">
        <v>Function Code</v>
      </c>
      <c r="C2" t="str">
        <v>NEWS_CREATE</v>
      </c>
      <c r="F2" t="str">
        <v>Function Name</v>
      </c>
      <c r="L2" t="str">
        <v>Create News</v>
      </c>
    </row>
    <row r="3">
      <c r="A3" t="str">
        <v>Created By</v>
      </c>
      <c r="C3" t="str">
        <v>quypd</v>
      </c>
      <c r="F3" t="str">
        <v>Executed By</v>
      </c>
      <c r="L3" t="str">
        <v>quypd</v>
      </c>
    </row>
    <row r="4">
      <c r="A4" t="str">
        <v>Lines  of code</v>
      </c>
      <c r="C4">
        <v>69</v>
      </c>
      <c r="F4" t="str">
        <v>Lack of test cases</v>
      </c>
      <c r="L4">
        <f>IF(FunctionList!E6&lt;'[1]Create News'!$K$14&gt;"N/A",SUM(C4*FunctionList!E6/1000,-O7),"N/A")</f>
        <v>-5.9990000000000006</v>
      </c>
    </row>
    <row r="5">
      <c r="A5" t="str">
        <v>Test requirement</v>
      </c>
    </row>
    <row r="6">
      <c r="A6" t="str">
        <v>Passed</v>
      </c>
      <c r="C6" t="str">
        <v>Failed</v>
      </c>
      <c r="F6" t="str">
        <v>Untested</v>
      </c>
      <c r="L6" t="str">
        <v>N/A/B</v>
      </c>
      <c r="O6" t="str">
        <v>Total Test Cases</v>
      </c>
    </row>
    <row r="7">
      <c r="A7">
        <v>8</v>
      </c>
      <c r="C7">
        <v>0</v>
      </c>
      <c r="F7">
        <f>SUM(O7,-A7,-C7)</f>
        <v>0</v>
      </c>
      <c r="L7">
        <v>2</v>
      </c>
      <c r="M7">
        <v>4</v>
      </c>
      <c r="N7">
        <v>2</v>
      </c>
      <c r="O7">
        <f>COUNTA(E9:HT9)</f>
        <v>8</v>
      </c>
    </row>
    <row r="9"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>UTCID07</v>
      </c>
      <c r="M9" t="str">
        <v>UTCID08</v>
      </c>
    </row>
    <row r="10">
      <c r="A10" t="str">
        <v>Condition</v>
      </c>
      <c r="B10" t="str">
        <v xml:space="preserve">Precondition </v>
      </c>
    </row>
    <row r="11">
      <c r="D11" t="str">
        <v>Can connect with server</v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>O</v>
      </c>
      <c r="M11" t="str">
        <v>O</v>
      </c>
    </row>
    <row r="12">
      <c r="D12" t="str">
        <v>User login with role MANAGER</v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L12" t="str">
        <v>O</v>
      </c>
      <c r="M12" t="str">
        <v>O</v>
      </c>
    </row>
    <row r="14">
      <c r="B14" t="str">
        <v>title (bat buoc, khong rong sau trim)</v>
      </c>
    </row>
    <row r="15">
      <c r="D15" t="str">
        <v>title hop le (vi du "Bao tri he thong")</v>
      </c>
      <c r="F15" t="str">
        <v>O</v>
      </c>
      <c r="I15" t="str">
        <v>O</v>
      </c>
      <c r="J15" t="str">
        <v>O</v>
      </c>
      <c r="M15" t="str">
        <v>O</v>
      </c>
    </row>
    <row r="16">
      <c r="D16" t="str">
        <v>title = "" (rong)</v>
      </c>
      <c r="G16" t="str">
        <v>O</v>
      </c>
      <c r="L16" t="str">
        <v>O</v>
      </c>
    </row>
    <row r="17">
      <c r="D17" t="str">
        <v>title = "   " (chi khoang trang)</v>
      </c>
      <c r="H17" t="str">
        <v>O</v>
      </c>
    </row>
    <row r="18">
      <c r="D18" t="str">
        <v>title = undefined (khong truyen)</v>
      </c>
      <c r="K18" t="str">
        <v>O</v>
      </c>
    </row>
    <row r="19">
      <c r="B19" t="str">
        <v>content (bat buoc, khong rong sau trim)</v>
      </c>
    </row>
    <row r="20">
      <c r="D20" t="str">
        <v>content hop le</v>
      </c>
      <c r="F20" t="str">
        <v>O</v>
      </c>
      <c r="G20" t="str">
        <v>O</v>
      </c>
      <c r="H20" t="str">
        <v>O</v>
      </c>
      <c r="K20" t="str">
        <v>O</v>
      </c>
      <c r="M20" t="str">
        <v>O</v>
      </c>
    </row>
    <row r="21">
      <c r="D21" t="str">
        <v>content = "" (rong)</v>
      </c>
      <c r="I21" t="str">
        <v>O</v>
      </c>
    </row>
    <row r="22">
      <c r="D22" t="str">
        <v>content = "   " (chi khoang trang)</v>
      </c>
      <c r="J22" t="str">
        <v>O</v>
      </c>
    </row>
    <row r="23">
      <c r="D23" t="str">
        <v>content = undefined</v>
      </c>
      <c r="L23" t="str">
        <v>O</v>
      </c>
    </row>
    <row r="24">
      <c r="B24" t="str">
        <v>status (tuy chon, mac dinh published)</v>
      </c>
    </row>
    <row r="25">
      <c r="D25" t="str">
        <v>status mac dinh "published"</v>
      </c>
      <c r="F25" t="str">
        <v>O</v>
      </c>
      <c r="G25" t="str">
        <v>O</v>
      </c>
      <c r="H25" t="str">
        <v>O</v>
      </c>
      <c r="I25" t="str">
        <v>O</v>
      </c>
      <c r="J25" t="str">
        <v>O</v>
      </c>
      <c r="K25" t="str">
        <v>O</v>
      </c>
      <c r="L25" t="str">
        <v>O</v>
      </c>
    </row>
    <row r="26">
      <c r="D26" t="str">
        <v>status = "draft"</v>
      </c>
      <c r="M26" t="str">
        <v>O</v>
      </c>
    </row>
    <row r="27">
      <c r="B27" t="str">
        <v>isPinned (tuy chon)</v>
      </c>
    </row>
    <row r="28">
      <c r="C28" t="str">
        <v>isPinned = false (mac dinh)</v>
      </c>
      <c r="F28" t="str">
        <v>O</v>
      </c>
      <c r="G28" t="str">
        <v>O</v>
      </c>
      <c r="H28" t="str">
        <v>O</v>
      </c>
      <c r="I28" t="str">
        <v>O</v>
      </c>
      <c r="J28" t="str">
        <v>O</v>
      </c>
      <c r="K28" t="str">
        <v>O</v>
      </c>
      <c r="L28" t="str">
        <v>O</v>
      </c>
    </row>
    <row r="29">
      <c r="C29" t="str">
        <v>isPinned = true</v>
      </c>
      <c r="M29" t="str">
        <v>O</v>
      </c>
    </row>
    <row r="30">
      <c r="A30" t="str">
        <v>Confirm</v>
      </c>
      <c r="B30" t="str">
        <v>Return</v>
      </c>
    </row>
    <row r="31">
      <c r="D31" t="str">
        <v>HTTP 201 - success:true - Dang ban tin thanh cong</v>
      </c>
      <c r="F31" t="str">
        <v>O</v>
      </c>
      <c r="M31" t="str">
        <v>O</v>
      </c>
    </row>
    <row r="32">
      <c r="D32" t="str">
        <v>HTTP 400 - "Vui long nhap tieu de ban tin"</v>
      </c>
      <c r="G32" t="str">
        <v>O</v>
      </c>
      <c r="H32" t="str">
        <v>O</v>
      </c>
      <c r="K32" t="str">
        <v>O</v>
      </c>
    </row>
    <row r="33">
      <c r="D33" t="str">
        <v>HTTP 400 - "Vui long nhap noi dung ban tin"</v>
      </c>
      <c r="I33" t="str">
        <v>O</v>
      </c>
      <c r="J33" t="str">
        <v>O</v>
      </c>
      <c r="L33" t="str">
        <v>O</v>
      </c>
    </row>
    <row r="34">
      <c r="D34" t="str">
        <v>KHONG emit socket, KHONG tao Notification</v>
      </c>
      <c r="G34" t="str">
        <v>O</v>
      </c>
      <c r="H34" t="str">
        <v>O</v>
      </c>
      <c r="I34" t="str">
        <v>O</v>
      </c>
      <c r="J34" t="str">
        <v>O</v>
      </c>
      <c r="K34" t="str">
        <v>O</v>
      </c>
      <c r="L34" t="str">
        <v>O</v>
      </c>
    </row>
    <row r="35">
      <c r="D35" t="str">
        <v>Emit socket new_news + tao Notification</v>
      </c>
      <c r="F35" t="str">
        <v>O</v>
      </c>
    </row>
    <row r="37">
      <c r="A37" t="str">
        <v>Result</v>
      </c>
      <c r="B37" t="str">
        <v>Type(N : Normal, A : Abnormal, B : Boundary)</v>
      </c>
      <c r="F37" t="str">
        <v>N</v>
      </c>
      <c r="G37" t="str">
        <v>A</v>
      </c>
      <c r="H37" t="str">
        <v>B</v>
      </c>
      <c r="I37" t="str">
        <v>A</v>
      </c>
      <c r="J37" t="str">
        <v>B</v>
      </c>
      <c r="K37" t="str">
        <v>A</v>
      </c>
      <c r="L37" t="str">
        <v>A</v>
      </c>
      <c r="M37" t="str">
        <v>N</v>
      </c>
    </row>
    <row r="38">
      <c r="B38" t="str">
        <v>Passed/Failed</v>
      </c>
      <c r="F38" t="str">
        <v>P</v>
      </c>
      <c r="G38" t="str">
        <v>P</v>
      </c>
      <c r="H38" t="str">
        <v>P</v>
      </c>
      <c r="I38" t="str">
        <v>P</v>
      </c>
      <c r="J38" t="str">
        <v>P</v>
      </c>
      <c r="K38" t="str">
        <v>P</v>
      </c>
      <c r="L38" t="str">
        <v>P</v>
      </c>
      <c r="M38" t="str">
        <v>P</v>
      </c>
    </row>
    <row r="39">
      <c r="B39" t="str">
        <v>Executed Date</v>
      </c>
      <c r="F39">
        <v>46214</v>
      </c>
      <c r="G39">
        <v>46214</v>
      </c>
      <c r="H39">
        <v>46214</v>
      </c>
      <c r="I39">
        <v>46214</v>
      </c>
      <c r="J39">
        <v>46214</v>
      </c>
      <c r="K39">
        <v>46214</v>
      </c>
      <c r="L39">
        <v>46214</v>
      </c>
      <c r="M39">
        <v>46214</v>
      </c>
    </row>
    <row r="40">
      <c r="B40" t="str">
        <v>Defect ID</v>
      </c>
    </row>
  </sheetData>
  <mergeCells count="28">
    <mergeCell ref="D20:E20"/>
    <mergeCell ref="B37:D37"/>
    <mergeCell ref="B38:D38"/>
    <mergeCell ref="B39:D39"/>
    <mergeCell ref="B40:D40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D2"/>
    <mergeCell ref="F2:K2"/>
    <mergeCell ref="L2:T2"/>
    <mergeCell ref="A3:B3"/>
    <mergeCell ref="C3:E3"/>
    <mergeCell ref="F3:K3"/>
    <mergeCell ref="L3:N3"/>
  </mergeCells>
  <pageMargins left="0.7" right="0.7" top="0.75" bottom="0.75" header="0" footer="0"/>
  <ignoredErrors>
    <ignoredError numberStoredAsText="1" sqref="A1:Z988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T37"/>
  <sheetViews>
    <sheetView workbookViewId="0" rightToLeft="0"/>
  </sheetViews>
  <cols>
    <col min="1" max="1" width="12.83203125" customWidth="1"/>
    <col min="2" max="2" width="30.83203125" customWidth="1"/>
    <col min="3" max="3" width="12.83203125" customWidth="1"/>
    <col min="4" max="4" width="44.83203125" customWidth="1"/>
    <col min="5" max="5" width="4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Function Code</v>
      </c>
      <c r="B2" t="str">
        <v/>
      </c>
      <c r="C2" t="str">
        <v>NOTI_CREATE</v>
      </c>
      <c r="D2" t="str">
        <v/>
      </c>
      <c r="E2" t="str">
        <v/>
      </c>
      <c r="F2" t="str">
        <v>Function Name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Create Notification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Created By</v>
      </c>
      <c r="B3" t="str">
        <v/>
      </c>
      <c r="C3" t="str">
        <v>quypd</v>
      </c>
      <c r="D3" t="str">
        <v/>
      </c>
      <c r="E3" t="str">
        <v/>
      </c>
      <c r="F3" t="str">
        <v>Executed By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quypd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Lines  of code</v>
      </c>
      <c r="B4" t="str">
        <v/>
      </c>
      <c r="C4">
        <v>70</v>
      </c>
      <c r="D4" t="str">
        <v/>
      </c>
      <c r="E4" t="str">
        <v/>
      </c>
      <c r="F4" t="str">
        <v>Lack of test cases</v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Test requirement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Passed</v>
      </c>
      <c r="B6" t="str">
        <v/>
      </c>
      <c r="C6" t="str">
        <v>Failed</v>
      </c>
      <c r="D6" t="str">
        <v/>
      </c>
      <c r="E6" t="str">
        <v/>
      </c>
      <c r="F6" t="str">
        <v>Untested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N/A/B</v>
      </c>
      <c r="M6" t="str">
        <v/>
      </c>
      <c r="N6" t="str">
        <v/>
      </c>
      <c r="O6" t="str">
        <v>Total Test Cases</v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>
        <v>6</v>
      </c>
      <c r="B7" t="str">
        <v/>
      </c>
      <c r="C7">
        <v>0</v>
      </c>
      <c r="D7" t="str">
        <v/>
      </c>
      <c r="E7" t="str">
        <v/>
      </c>
      <c r="F7">
        <v>0</v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4</v>
      </c>
      <c r="M7">
        <v>2</v>
      </c>
      <c r="N7">
        <v>0</v>
      </c>
      <c r="O7">
        <v>6</v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UTCID01</v>
      </c>
      <c r="G9" t="str">
        <v>UTCID02</v>
      </c>
      <c r="H9" t="str">
        <v>UTCID03</v>
      </c>
      <c r="I9" t="str">
        <v>UTCID04</v>
      </c>
      <c r="J9" t="str">
        <v>UTCID05</v>
      </c>
      <c r="K9" t="str">
        <v>UTCID06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Condition</v>
      </c>
      <c r="B10" t="str">
        <v xml:space="preserve">Precondition 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/>
      </c>
      <c r="C11" t="str">
        <v/>
      </c>
      <c r="D11" t="str">
        <v>Can connect with server</v>
      </c>
      <c r="E11" t="str">
        <v/>
      </c>
      <c r="F11" t="str">
        <v>O</v>
      </c>
      <c r="G11" t="str">
        <v>O</v>
      </c>
      <c r="H11" t="str">
        <v>O</v>
      </c>
      <c r="I11" t="str">
        <v>O</v>
      </c>
      <c r="J11" t="str">
        <v>O</v>
      </c>
      <c r="K11" t="str">
        <v>O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/>
      </c>
      <c r="C12" t="str">
        <v/>
      </c>
      <c r="D12" t="str">
        <v>User login (role admin/manager)</v>
      </c>
      <c r="E12" t="str">
        <v/>
      </c>
      <c r="F12" t="str">
        <v>O</v>
      </c>
      <c r="G12" t="str">
        <v>O</v>
      </c>
      <c r="H12" t="str">
        <v>O</v>
      </c>
      <c r="I12" t="str">
        <v>O</v>
      </c>
      <c r="J12" t="str">
        <v>O</v>
      </c>
      <c r="K12" t="str">
        <v>O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targetType (loai nguoi nhan)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/>
      </c>
      <c r="C15" t="str">
        <v/>
      </c>
      <c r="D15" t="str">
        <v>targetType = "all"</v>
      </c>
      <c r="E15" t="str">
        <v/>
      </c>
      <c r="F15" t="str">
        <v>O</v>
      </c>
      <c r="G15" t="str">
        <v/>
      </c>
      <c r="H15" t="str">
        <v/>
      </c>
      <c r="I15" t="str">
        <v/>
      </c>
      <c r="J15" t="str">
        <v/>
      </c>
      <c r="K15" t="str">
        <v>O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/>
      </c>
      <c r="C16" t="str">
        <v/>
      </c>
      <c r="D16" t="str">
        <v>targetType = "roles"</v>
      </c>
      <c r="E16" t="str">
        <v/>
      </c>
      <c r="F16" t="str">
        <v/>
      </c>
      <c r="G16" t="str">
        <v>O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/>
      </c>
      <c r="C17" t="str">
        <v/>
      </c>
      <c r="D17" t="str">
        <v>targetType = "users"</v>
      </c>
      <c r="E17" t="str">
        <v/>
      </c>
      <c r="F17" t="str">
        <v/>
      </c>
      <c r="G17" t="str">
        <v/>
      </c>
      <c r="H17" t="str">
        <v>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>targetType = "studentCode"</v>
      </c>
      <c r="E18" t="str">
        <v/>
      </c>
      <c r="F18" t="str">
        <v/>
      </c>
      <c r="G18" t="str">
        <v/>
      </c>
      <c r="H18" t="str">
        <v/>
      </c>
      <c r="I18" t="str">
        <v>O</v>
      </c>
      <c r="J18" t="str">
        <v>O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>studentCode (khi targetType = studentCode)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/>
      </c>
      <c r="C21" t="str">
        <v/>
      </c>
      <c r="D21" t="str">
        <v>studentCode ton tai trong DB</v>
      </c>
      <c r="E21" t="str">
        <v/>
      </c>
      <c r="F21" t="str">
        <v/>
      </c>
      <c r="G21" t="str">
        <v/>
      </c>
      <c r="H21" t="str">
        <v/>
      </c>
      <c r="I21" t="str">
        <v>O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/>
      </c>
      <c r="C22" t="str">
        <v/>
      </c>
      <c r="D22" t="str">
        <v>studentCode KHONG ton tai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O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Trang thai he thong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/>
      </c>
      <c r="C25" t="str">
        <v/>
      </c>
      <c r="D25" t="str">
        <v>Notification.create thanh cong</v>
      </c>
      <c r="E25" t="str">
        <v/>
      </c>
      <c r="F25" t="str">
        <v>O</v>
      </c>
      <c r="G25" t="str">
        <v>O</v>
      </c>
      <c r="H25" t="str">
        <v>O</v>
      </c>
      <c r="I25" t="str">
        <v>O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/>
      </c>
      <c r="C26" t="str">
        <v/>
      </c>
      <c r="D26" t="str">
        <v>Notification.create throw loi (DB down)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O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Confirm</v>
      </c>
      <c r="B28" t="str">
        <v>Return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/>
      </c>
      <c r="C29" t="str">
        <v/>
      </c>
      <c r="D29" t="str">
        <v>HTTP 201 - success:true - Gui thong bao thanh cong</v>
      </c>
      <c r="E29" t="str">
        <v/>
      </c>
      <c r="F29" t="str">
        <v>O</v>
      </c>
      <c r="G29" t="str">
        <v>O</v>
      </c>
      <c r="H29" t="str">
        <v>O</v>
      </c>
      <c r="I29" t="str">
        <v>O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/>
      </c>
      <c r="C30" t="str">
        <v/>
      </c>
      <c r="D30" t="str">
        <v>HTTP 404 - "Khong tim thay sinh vien voi ma nay"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O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>HTTP 500 - "Loi khi gui thong bao"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O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>Emit new_notification dung room (all/role/user)</v>
      </c>
      <c r="E32" t="str">
        <v/>
      </c>
      <c r="F32" t="str">
        <v>O</v>
      </c>
      <c r="G32" t="str">
        <v>O</v>
      </c>
      <c r="H32" t="str">
        <v>O</v>
      </c>
      <c r="I32" t="str">
        <v>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Result</v>
      </c>
      <c r="B34" t="str">
        <v>Type(N : Normal, A : Abnormal, B : Boundary)</v>
      </c>
      <c r="C34" t="str">
        <v/>
      </c>
      <c r="D34" t="str">
        <v/>
      </c>
      <c r="E34" t="str">
        <v/>
      </c>
      <c r="F34" t="str">
        <v>N</v>
      </c>
      <c r="G34" t="str">
        <v>N</v>
      </c>
      <c r="H34" t="str">
        <v>N</v>
      </c>
      <c r="I34" t="str">
        <v>N</v>
      </c>
      <c r="J34" t="str">
        <v>A</v>
      </c>
      <c r="K34" t="str">
        <v>A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>Passed/Failed</v>
      </c>
      <c r="C35" t="str">
        <v/>
      </c>
      <c r="D35" t="str">
        <v/>
      </c>
      <c r="E35" t="str">
        <v/>
      </c>
      <c r="F35" t="str">
        <v>P</v>
      </c>
      <c r="G35" t="str">
        <v>P</v>
      </c>
      <c r="H35" t="str">
        <v>P</v>
      </c>
      <c r="I35" t="str">
        <v>P</v>
      </c>
      <c r="J35" t="str">
        <v>P</v>
      </c>
      <c r="K35" t="str">
        <v>P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>Executed Date</v>
      </c>
      <c r="C36" t="str">
        <v/>
      </c>
      <c r="D36" t="str">
        <v/>
      </c>
      <c r="E36" t="str">
        <v/>
      </c>
      <c r="F36" t="str">
        <v>16/07/2026</v>
      </c>
      <c r="G36" t="str">
        <v>16/07/2026</v>
      </c>
      <c r="H36" t="str">
        <v>16/07/2026</v>
      </c>
      <c r="I36" t="str">
        <v>16/07/2026</v>
      </c>
      <c r="J36" t="str">
        <v>16/07/2026</v>
      </c>
      <c r="K36" t="str">
        <v>16/07/2026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Defect ID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FunctionList</vt:lpstr>
      <vt:lpstr>Test Report</vt:lpstr>
      <vt:lpstr>Login</vt:lpstr>
      <vt:lpstr>Create Service</vt:lpstr>
      <vt:lpstr>Create News</vt:lpstr>
      <vt:lpstr>Room</vt:lpstr>
      <vt:lpstr>Notifications</vt:lpstr>
      <vt:lpstr>Notification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2026-07-16T09:31:47Z</dcterms:modified>
  <cp:lastModifiedBy>Phạm Quý</cp:lastModifiedBy>
</cp:coreProperties>
</file>